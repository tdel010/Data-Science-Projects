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thoma\Downloads\"/>
    </mc:Choice>
  </mc:AlternateContent>
  <xr:revisionPtr revIDLastSave="0" documentId="13_ncr:1_{97FF4FBA-D58D-4009-9AF2-5FDE38F27D9F}" xr6:coauthVersionLast="47" xr6:coauthVersionMax="47" xr10:uidLastSave="{00000000-0000-0000-0000-000000000000}"/>
  <bookViews>
    <workbookView xWindow="34275" yWindow="2265" windowWidth="19485" windowHeight="115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G12" i="1"/>
  <c r="G11" i="1"/>
  <c r="C10" i="1"/>
  <c r="B10" i="1"/>
  <c r="E9" i="1"/>
  <c r="D9" i="1"/>
  <c r="E8" i="1"/>
  <c r="D8" i="1"/>
  <c r="E7" i="1"/>
  <c r="D7" i="1"/>
  <c r="E6" i="1"/>
  <c r="D6" i="1"/>
  <c r="E5" i="1"/>
  <c r="D5" i="1"/>
  <c r="E4" i="1"/>
  <c r="D4" i="1"/>
  <c r="G3" i="1"/>
  <c r="E3" i="1"/>
  <c r="D3" i="1"/>
  <c r="E2" i="1"/>
  <c r="D2" i="1"/>
  <c r="G6" i="1" l="1"/>
  <c r="F6" i="1"/>
  <c r="G5" i="1"/>
  <c r="F5" i="1"/>
  <c r="G4" i="1"/>
  <c r="F4" i="1"/>
  <c r="F3" i="1"/>
  <c r="G2" i="1"/>
  <c r="F2" i="1"/>
  <c r="G9" i="1"/>
  <c r="F9" i="1"/>
  <c r="G8" i="1"/>
  <c r="F8" i="1"/>
  <c r="G7" i="1"/>
  <c r="F7" i="1"/>
  <c r="G10" i="1" l="1"/>
  <c r="F10" i="1"/>
</calcChain>
</file>

<file path=xl/sharedStrings.xml><?xml version="1.0" encoding="utf-8"?>
<sst xmlns="http://schemas.openxmlformats.org/spreadsheetml/2006/main" count="20" uniqueCount="20">
  <si>
    <t>minutes running  (x)</t>
  </si>
  <si>
    <t>weight by week (y)</t>
  </si>
  <si>
    <t>x - 63.125</t>
  </si>
  <si>
    <t>y - 178.25</t>
  </si>
  <si>
    <t>(x-x mean)(y-y mean)</t>
  </si>
  <si>
    <t>(x-x mean)squared</t>
  </si>
  <si>
    <t>Column Means</t>
  </si>
  <si>
    <t>&lt;--Column sums</t>
  </si>
  <si>
    <t>b=44.75/1054.875--&gt;</t>
  </si>
  <si>
    <t>&lt;--Slope (b)</t>
  </si>
  <si>
    <t>a=178.25-(0.042)(63.125)</t>
  </si>
  <si>
    <t>&lt;--Intercept (a)</t>
  </si>
  <si>
    <t>Pearson Correlation</t>
  </si>
  <si>
    <t>y=a+bx</t>
  </si>
  <si>
    <t>y=175.6 + 0.042x</t>
  </si>
  <si>
    <t>&lt;--Use this to plot the regression line</t>
  </si>
  <si>
    <t>x=minutes running</t>
  </si>
  <si>
    <t>y=weight</t>
  </si>
  <si>
    <t>b=slope of the line</t>
  </si>
  <si>
    <t>a=y-intercept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</si>
</sst>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weight by week vs. minutes running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weight by week (y)</c:v>
                </c:pt>
              </c:strCache>
            </c:strRef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marker>
          <c:trendline>
            <c:name>Trendline for weight by week (y)</c:name>
            <c:spPr>
              <a:ln w="19050">
                <a:solidFill>
                  <a:srgbClr val="000000"/>
                </a:solidFill>
              </a:ln>
            </c:spPr>
            <c:trendlineType val="linear"/>
            <c:intercept val="175.6"/>
            <c:dispRSqr val="0"/>
            <c:dispEq val="1"/>
            <c:trendlineLbl>
              <c:layout>
                <c:manualLayout>
                  <c:x val="0.17026316710411199"/>
                  <c:y val="9.1124081187964709E-2"/>
                </c:manualLayout>
              </c:layout>
              <c:numFmt formatCode="General" sourceLinked="0"/>
            </c:trendlineLbl>
          </c:trendline>
          <c:xVal>
            <c:numRef>
              <c:f>Sheet1!$B$2:$B$10</c:f>
              <c:numCache>
                <c:formatCode>General</c:formatCode>
                <c:ptCount val="9"/>
                <c:pt idx="0">
                  <c:v>90</c:v>
                </c:pt>
                <c:pt idx="1">
                  <c:v>50</c:v>
                </c:pt>
                <c:pt idx="2">
                  <c:v>60</c:v>
                </c:pt>
                <c:pt idx="3">
                  <c:v>70</c:v>
                </c:pt>
                <c:pt idx="4">
                  <c:v>62</c:v>
                </c:pt>
                <c:pt idx="5">
                  <c:v>55</c:v>
                </c:pt>
                <c:pt idx="6">
                  <c:v>58</c:v>
                </c:pt>
                <c:pt idx="7">
                  <c:v>60</c:v>
                </c:pt>
                <c:pt idx="8">
                  <c:v>63.125</c:v>
                </c:pt>
              </c:numCache>
            </c:numRef>
          </c:xVal>
          <c:yVal>
            <c:numRef>
              <c:f>Sheet1!$C$2:$C$10</c:f>
              <c:numCache>
                <c:formatCode>General</c:formatCode>
                <c:ptCount val="9"/>
                <c:pt idx="0">
                  <c:v>180</c:v>
                </c:pt>
                <c:pt idx="1">
                  <c:v>178</c:v>
                </c:pt>
                <c:pt idx="2">
                  <c:v>179</c:v>
                </c:pt>
                <c:pt idx="3">
                  <c:v>177</c:v>
                </c:pt>
                <c:pt idx="4">
                  <c:v>180</c:v>
                </c:pt>
                <c:pt idx="5">
                  <c:v>179</c:v>
                </c:pt>
                <c:pt idx="6">
                  <c:v>177</c:v>
                </c:pt>
                <c:pt idx="7">
                  <c:v>176</c:v>
                </c:pt>
                <c:pt idx="8">
                  <c:v>178.25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9BF-4F13-88BB-CDC0F59935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4092234"/>
        <c:axId val="882571183"/>
      </c:scatterChart>
      <c:valAx>
        <c:axId val="604092234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minutes running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882571183"/>
        <c:crosses val="autoZero"/>
        <c:crossBetween val="midCat"/>
      </c:valAx>
      <c:valAx>
        <c:axId val="8825711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b="0">
                    <a:solidFill>
                      <a:srgbClr val="000000"/>
                    </a:solidFill>
                    <a:latin typeface="+mn-lt"/>
                  </a:rPr>
                  <a:t>weight by week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604092234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6803</xdr:colOff>
      <xdr:row>18</xdr:row>
      <xdr:rowOff>163285</xdr:rowOff>
    </xdr:from>
    <xdr:ext cx="5715000" cy="3533775"/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8"/>
  <sheetViews>
    <sheetView tabSelected="1" workbookViewId="0">
      <selection activeCell="G18" sqref="G18"/>
    </sheetView>
  </sheetViews>
  <sheetFormatPr defaultColWidth="12.61328125" defaultRowHeight="15.75" customHeight="1" x14ac:dyDescent="0.3"/>
  <cols>
    <col min="1" max="1" width="15.23046875" customWidth="1"/>
    <col min="2" max="2" width="16.3828125" customWidth="1"/>
    <col min="3" max="3" width="15.15234375" customWidth="1"/>
    <col min="6" max="6" width="19.61328125" customWidth="1"/>
    <col min="7" max="7" width="15.15234375" customWidth="1"/>
    <col min="8" max="8" width="13.23046875" customWidth="1"/>
  </cols>
  <sheetData>
    <row r="1" spans="1:8" ht="15.75" customHeight="1" x14ac:dyDescent="0.3">
      <c r="B1" s="1" t="s">
        <v>0</v>
      </c>
      <c r="C1" s="1" t="s">
        <v>1</v>
      </c>
      <c r="D1" s="2" t="s">
        <v>2</v>
      </c>
      <c r="E1" s="2" t="s">
        <v>3</v>
      </c>
      <c r="F1" s="2" t="s">
        <v>4</v>
      </c>
      <c r="G1" s="2" t="s">
        <v>5</v>
      </c>
    </row>
    <row r="2" spans="1:8" ht="15.75" customHeight="1" x14ac:dyDescent="0.3">
      <c r="B2" s="3">
        <v>90</v>
      </c>
      <c r="C2" s="3">
        <v>180</v>
      </c>
      <c r="D2" s="2">
        <f t="shared" ref="D2:D9" si="0">B2-63.125</f>
        <v>26.875</v>
      </c>
      <c r="E2" s="2">
        <f t="shared" ref="E2:E9" si="1">C2-178.25</f>
        <v>1.75</v>
      </c>
      <c r="F2" s="2">
        <f t="shared" ref="F2:F9" si="2">D2*E2</f>
        <v>47.03125</v>
      </c>
      <c r="G2" s="2">
        <f t="shared" ref="G2:G9" si="3">D2^2</f>
        <v>722.265625</v>
      </c>
    </row>
    <row r="3" spans="1:8" ht="15.75" customHeight="1" x14ac:dyDescent="0.3">
      <c r="B3" s="3">
        <v>50</v>
      </c>
      <c r="C3" s="3">
        <v>178</v>
      </c>
      <c r="D3" s="2">
        <f t="shared" si="0"/>
        <v>-13.125</v>
      </c>
      <c r="E3" s="2">
        <f t="shared" si="1"/>
        <v>-0.25</v>
      </c>
      <c r="F3" s="2">
        <f t="shared" si="2"/>
        <v>3.28125</v>
      </c>
      <c r="G3" s="2">
        <f t="shared" si="3"/>
        <v>172.265625</v>
      </c>
    </row>
    <row r="4" spans="1:8" ht="15.75" customHeight="1" x14ac:dyDescent="0.3">
      <c r="B4" s="3">
        <v>60</v>
      </c>
      <c r="C4" s="3">
        <v>179</v>
      </c>
      <c r="D4" s="2">
        <f t="shared" si="0"/>
        <v>-3.125</v>
      </c>
      <c r="E4" s="2">
        <f t="shared" si="1"/>
        <v>0.75</v>
      </c>
      <c r="F4" s="2">
        <f t="shared" si="2"/>
        <v>-2.34375</v>
      </c>
      <c r="G4" s="2">
        <f t="shared" si="3"/>
        <v>9.765625</v>
      </c>
    </row>
    <row r="5" spans="1:8" ht="15.75" customHeight="1" x14ac:dyDescent="0.3">
      <c r="B5" s="3">
        <v>70</v>
      </c>
      <c r="C5" s="3">
        <v>177</v>
      </c>
      <c r="D5" s="2">
        <f t="shared" si="0"/>
        <v>6.875</v>
      </c>
      <c r="E5" s="2">
        <f t="shared" si="1"/>
        <v>-1.25</v>
      </c>
      <c r="F5" s="2">
        <f t="shared" si="2"/>
        <v>-8.59375</v>
      </c>
      <c r="G5" s="2">
        <f t="shared" si="3"/>
        <v>47.265625</v>
      </c>
    </row>
    <row r="6" spans="1:8" ht="15.75" customHeight="1" x14ac:dyDescent="0.3">
      <c r="B6" s="3">
        <v>62</v>
      </c>
      <c r="C6" s="3">
        <v>180</v>
      </c>
      <c r="D6" s="2">
        <f t="shared" si="0"/>
        <v>-1.125</v>
      </c>
      <c r="E6" s="2">
        <f t="shared" si="1"/>
        <v>1.75</v>
      </c>
      <c r="F6" s="2">
        <f t="shared" si="2"/>
        <v>-1.96875</v>
      </c>
      <c r="G6" s="2">
        <f t="shared" si="3"/>
        <v>1.265625</v>
      </c>
    </row>
    <row r="7" spans="1:8" ht="15.75" customHeight="1" x14ac:dyDescent="0.3">
      <c r="B7" s="3">
        <v>55</v>
      </c>
      <c r="C7" s="3">
        <v>179</v>
      </c>
      <c r="D7" s="2">
        <f t="shared" si="0"/>
        <v>-8.125</v>
      </c>
      <c r="E7" s="2">
        <f t="shared" si="1"/>
        <v>0.75</v>
      </c>
      <c r="F7" s="2">
        <f t="shared" si="2"/>
        <v>-6.09375</v>
      </c>
      <c r="G7" s="2">
        <f t="shared" si="3"/>
        <v>66.015625</v>
      </c>
    </row>
    <row r="8" spans="1:8" ht="15.75" customHeight="1" x14ac:dyDescent="0.3">
      <c r="B8" s="3">
        <v>58</v>
      </c>
      <c r="C8" s="3">
        <v>177</v>
      </c>
      <c r="D8" s="2">
        <f t="shared" si="0"/>
        <v>-5.125</v>
      </c>
      <c r="E8" s="2">
        <f t="shared" si="1"/>
        <v>-1.25</v>
      </c>
      <c r="F8" s="2">
        <f t="shared" si="2"/>
        <v>6.40625</v>
      </c>
      <c r="G8" s="2">
        <f t="shared" si="3"/>
        <v>26.265625</v>
      </c>
    </row>
    <row r="9" spans="1:8" ht="15.75" customHeight="1" x14ac:dyDescent="0.3">
      <c r="B9" s="3">
        <v>60</v>
      </c>
      <c r="C9" s="3">
        <v>176</v>
      </c>
      <c r="D9" s="2">
        <f t="shared" si="0"/>
        <v>-3.125</v>
      </c>
      <c r="E9" s="2">
        <f t="shared" si="1"/>
        <v>-2.25</v>
      </c>
      <c r="F9" s="2">
        <f t="shared" si="2"/>
        <v>7.03125</v>
      </c>
      <c r="G9" s="2">
        <f t="shared" si="3"/>
        <v>9.765625</v>
      </c>
    </row>
    <row r="10" spans="1:8" ht="15.75" customHeight="1" x14ac:dyDescent="0.3">
      <c r="A10" s="2" t="s">
        <v>6</v>
      </c>
      <c r="B10" s="2">
        <f t="shared" ref="B10:C10" si="4">AVERAGE(B2:B9)</f>
        <v>63.125</v>
      </c>
      <c r="C10" s="2">
        <f t="shared" si="4"/>
        <v>178.25</v>
      </c>
      <c r="F10" s="2">
        <f t="shared" ref="F10:G10" si="5">SUM(F2:F9)</f>
        <v>44.75</v>
      </c>
      <c r="G10" s="2">
        <f t="shared" si="5"/>
        <v>1054.875</v>
      </c>
      <c r="H10" s="2" t="s">
        <v>7</v>
      </c>
    </row>
    <row r="11" spans="1:8" ht="15.75" customHeight="1" x14ac:dyDescent="0.3">
      <c r="F11" s="2" t="s">
        <v>8</v>
      </c>
      <c r="G11" s="4">
        <f>44.75/1054.875</f>
        <v>4.2422087925109611E-2</v>
      </c>
      <c r="H11" s="4" t="s">
        <v>9</v>
      </c>
    </row>
    <row r="12" spans="1:8" ht="15.75" customHeight="1" x14ac:dyDescent="0.3">
      <c r="F12" s="2" t="s">
        <v>10</v>
      </c>
      <c r="G12" s="4">
        <f>178.25-2.65125</f>
        <v>175.59875</v>
      </c>
      <c r="H12" s="4" t="s">
        <v>11</v>
      </c>
    </row>
    <row r="13" spans="1:8" ht="15.75" customHeight="1" x14ac:dyDescent="0.3">
      <c r="A13" s="1" t="s">
        <v>12</v>
      </c>
      <c r="B13" s="3">
        <f>CORREL(B2:B9,C2:C9)</f>
        <v>0.3499666744179209</v>
      </c>
    </row>
    <row r="14" spans="1:8" ht="15.75" customHeight="1" x14ac:dyDescent="0.3">
      <c r="F14" s="4" t="s">
        <v>13</v>
      </c>
      <c r="G14" s="4" t="s">
        <v>14</v>
      </c>
      <c r="H14" s="4" t="s">
        <v>15</v>
      </c>
    </row>
    <row r="15" spans="1:8" ht="15.75" customHeight="1" x14ac:dyDescent="0.3">
      <c r="F15" s="2" t="s">
        <v>16</v>
      </c>
    </row>
    <row r="16" spans="1:8" ht="15.75" customHeight="1" x14ac:dyDescent="0.3">
      <c r="F16" s="2" t="s">
        <v>17</v>
      </c>
    </row>
    <row r="17" spans="6:6" ht="15.75" customHeight="1" x14ac:dyDescent="0.3">
      <c r="F17" s="2" t="s">
        <v>18</v>
      </c>
    </row>
    <row r="18" spans="6:6" ht="15.75" customHeight="1" x14ac:dyDescent="0.3">
      <c r="F18" s="2" t="s">
        <v>19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thomas delaney</cp:lastModifiedBy>
  <dcterms:modified xsi:type="dcterms:W3CDTF">2026-06-19T14:42:37Z</dcterms:modified>
</cp:coreProperties>
</file>