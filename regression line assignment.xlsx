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<sst xmlns="http://schemas.openxmlformats.org/spreadsheetml/2006/main" count="20" uniqueCount="20">
  <si>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minutes running  (x)</t>
  </si>
  <si>
    <t>weight by week (y)</t>
  </si>
  <si>
    <t>x - 63.125</t>
  </si>
  <si>
    <t>y - 178.25</t>
  </si>
  <si>
    <t>(x-x mean)(y-y mean)</t>
  </si>
  <si>
    <t>(x-x mean)squared</t>
  </si>
  <si>
    <t>Column Means</t>
  </si>
  <si>
    <t>&lt;--Column sums</t>
  </si>
  <si>
    <t>b=44.75/1054.875--&gt;</t>
  </si>
  <si>
    <t>&lt;--Slope (b)</t>
  </si>
  <si>
    <t>a=178.25-(0.042)(63.125)</t>
  </si>
  <si>
    <t>&lt;--Intercept (a)</t>
  </si>
  <si>
    <t>Pearson Correlation</t>
  </si>
  <si>
    <t>y=a+bx</t>
  </si>
  <si>
    <t>y=175.6 + 0.042x</t>
  </si>
  <si>
    <t>&lt;--Use this to plot the regression line</t>
  </si>
  <si>
    <t>x=minutes running</t>
  </si>
  <si>
    <t>y=weight</t>
  </si>
  <si>
    <t>b=slope of the line</t>
  </si>
  <si>
    <t>a=y-intercept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</si>
</sst>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by week vs. minutes running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weight by week (y)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Sheet1!$B$2:$B$10</c:f>
            </c:numRef>
          </c:xVal>
          <c:yVal>
            <c:numRef>
              <c:f>Sheet1!$C$2:$C$10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92234"/>
        <c:axId val="882571183"/>
      </c:scatterChart>
      <c:valAx>
        <c:axId val="6040922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minutes running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571183"/>
      </c:valAx>
      <c:valAx>
        <c:axId val="882571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by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092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18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6.38"/>
    <col customWidth="1" min="3" max="3" width="15.13"/>
    <col customWidth="1" min="6" max="6" width="19.63"/>
    <col customWidth="1" min="7" max="7" width="15.13"/>
    <col customWidth="1" min="8" max="8" width="13.25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B2" s="3">
        <v>90.0</v>
      </c>
      <c r="C2" s="3">
        <v>180.0</v>
      </c>
      <c r="D2" s="4">
        <f t="shared" ref="D2:D9" si="1">B2-63.125</f>
        <v>26.875</v>
      </c>
      <c r="E2" s="4">
        <f t="shared" ref="E2:E9" si="2">C2-178.25</f>
        <v>1.75</v>
      </c>
      <c r="F2" s="4">
        <f t="shared" ref="F2:F9" si="3">D2*E2</f>
        <v>47.03125</v>
      </c>
      <c r="G2" s="4">
        <f t="shared" ref="G2:G9" si="4">D2^2</f>
        <v>722.265625</v>
      </c>
    </row>
    <row r="3">
      <c r="B3" s="3">
        <v>50.0</v>
      </c>
      <c r="C3" s="3">
        <v>178.0</v>
      </c>
      <c r="D3" s="4">
        <f t="shared" si="1"/>
        <v>-13.125</v>
      </c>
      <c r="E3" s="4">
        <f t="shared" si="2"/>
        <v>-0.25</v>
      </c>
      <c r="F3" s="4">
        <f t="shared" si="3"/>
        <v>3.28125</v>
      </c>
      <c r="G3" s="4">
        <f t="shared" si="4"/>
        <v>172.265625</v>
      </c>
    </row>
    <row r="4">
      <c r="B4" s="3">
        <v>60.0</v>
      </c>
      <c r="C4" s="3">
        <v>179.0</v>
      </c>
      <c r="D4" s="4">
        <f t="shared" si="1"/>
        <v>-3.125</v>
      </c>
      <c r="E4" s="4">
        <f t="shared" si="2"/>
        <v>0.75</v>
      </c>
      <c r="F4" s="4">
        <f t="shared" si="3"/>
        <v>-2.34375</v>
      </c>
      <c r="G4" s="4">
        <f t="shared" si="4"/>
        <v>9.765625</v>
      </c>
    </row>
    <row r="5">
      <c r="B5" s="3">
        <v>70.0</v>
      </c>
      <c r="C5" s="3">
        <v>177.0</v>
      </c>
      <c r="D5" s="4">
        <f t="shared" si="1"/>
        <v>6.875</v>
      </c>
      <c r="E5" s="4">
        <f t="shared" si="2"/>
        <v>-1.25</v>
      </c>
      <c r="F5" s="4">
        <f t="shared" si="3"/>
        <v>-8.59375</v>
      </c>
      <c r="G5" s="4">
        <f t="shared" si="4"/>
        <v>47.265625</v>
      </c>
    </row>
    <row r="6">
      <c r="B6" s="3">
        <v>62.0</v>
      </c>
      <c r="C6" s="3">
        <v>180.0</v>
      </c>
      <c r="D6" s="4">
        <f t="shared" si="1"/>
        <v>-1.125</v>
      </c>
      <c r="E6" s="4">
        <f t="shared" si="2"/>
        <v>1.75</v>
      </c>
      <c r="F6" s="4">
        <f t="shared" si="3"/>
        <v>-1.96875</v>
      </c>
      <c r="G6" s="4">
        <f t="shared" si="4"/>
        <v>1.265625</v>
      </c>
    </row>
    <row r="7">
      <c r="B7" s="3">
        <v>55.0</v>
      </c>
      <c r="C7" s="3">
        <v>179.0</v>
      </c>
      <c r="D7" s="4">
        <f t="shared" si="1"/>
        <v>-8.125</v>
      </c>
      <c r="E7" s="4">
        <f t="shared" si="2"/>
        <v>0.75</v>
      </c>
      <c r="F7" s="4">
        <f t="shared" si="3"/>
        <v>-6.09375</v>
      </c>
      <c r="G7" s="4">
        <f t="shared" si="4"/>
        <v>66.015625</v>
      </c>
    </row>
    <row r="8">
      <c r="B8" s="3">
        <v>58.0</v>
      </c>
      <c r="C8" s="3">
        <v>177.0</v>
      </c>
      <c r="D8" s="4">
        <f t="shared" si="1"/>
        <v>-5.125</v>
      </c>
      <c r="E8" s="4">
        <f t="shared" si="2"/>
        <v>-1.25</v>
      </c>
      <c r="F8" s="4">
        <f t="shared" si="3"/>
        <v>6.40625</v>
      </c>
      <c r="G8" s="4">
        <f t="shared" si="4"/>
        <v>26.265625</v>
      </c>
    </row>
    <row r="9">
      <c r="B9" s="3">
        <v>60.0</v>
      </c>
      <c r="C9" s="3">
        <v>176.0</v>
      </c>
      <c r="D9" s="4">
        <f t="shared" si="1"/>
        <v>-3.125</v>
      </c>
      <c r="E9" s="4">
        <f t="shared" si="2"/>
        <v>-2.25</v>
      </c>
      <c r="F9" s="4">
        <f t="shared" si="3"/>
        <v>7.03125</v>
      </c>
      <c r="G9" s="4">
        <f t="shared" si="4"/>
        <v>9.765625</v>
      </c>
    </row>
    <row r="10">
      <c r="A10" s="2" t="s">
        <v>6</v>
      </c>
      <c r="B10" s="4">
        <f t="shared" ref="B10:C10" si="5">AVERAGE(B2:B9)</f>
        <v>63.125</v>
      </c>
      <c r="C10" s="4">
        <f t="shared" si="5"/>
        <v>178.25</v>
      </c>
      <c r="F10" s="4">
        <f t="shared" ref="F10:G10" si="6">SUM(F2:F9)</f>
        <v>44.75</v>
      </c>
      <c r="G10" s="4">
        <f t="shared" si="6"/>
        <v>1054.875</v>
      </c>
      <c r="H10" s="2" t="s">
        <v>7</v>
      </c>
    </row>
    <row r="11">
      <c r="F11" s="2" t="s">
        <v>8</v>
      </c>
      <c r="G11" s="5">
        <f>44.75/1054.875</f>
        <v>0.04242208793</v>
      </c>
      <c r="H11" s="6" t="s">
        <v>9</v>
      </c>
    </row>
    <row r="12">
      <c r="F12" s="2" t="s">
        <v>10</v>
      </c>
      <c r="G12" s="5">
        <f>178.25-2.65125</f>
        <v>175.59875</v>
      </c>
      <c r="H12" s="6" t="s">
        <v>11</v>
      </c>
    </row>
    <row r="13">
      <c r="A13" s="1" t="s">
        <v>12</v>
      </c>
      <c r="B13" s="3">
        <f>CORREL(B2:B9,C2:C9)</f>
        <v>0.3499666744</v>
      </c>
    </row>
    <row r="14">
      <c r="F14" s="6" t="s">
        <v>13</v>
      </c>
      <c r="G14" s="6" t="s">
        <v>14</v>
      </c>
      <c r="H14" s="6" t="s">
        <v>15</v>
      </c>
    </row>
    <row r="15">
      <c r="F15" s="2" t="s">
        <v>16</v>
      </c>
    </row>
    <row r="16">
      <c r="F16" s="2" t="s">
        <v>17</v>
      </c>
    </row>
    <row r="17">
      <c r="F17" s="2" t="s">
        <v>18</v>
      </c>
    </row>
    <row r="18">
      <c r="F18" s="2" t="s">
        <v>19</v>
      </c>
    </row>
  </sheetData>
  <drawing r:id="rId1"/>
</worksheet>
</file>